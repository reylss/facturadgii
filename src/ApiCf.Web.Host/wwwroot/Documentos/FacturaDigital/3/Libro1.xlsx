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xr:revisionPtr revIDLastSave="0" documentId="8_{3CFA82A5-6E26-4DA6-A05F-0AFC8F2D27CD}" xr6:coauthVersionLast="47" xr6:coauthVersionMax="47" xr10:uidLastSave="{00000000-0000-0000-0000-000000000000}"/>
  <bookViews>
    <workbookView xWindow="-110" yWindow="-110" windowWidth="19420" windowHeight="10420" xr2:uid="{1A0B2886-369F-4243-A69B-3033D2B91DDE}"/>
  </bookViews>
  <sheets>
    <sheet name="Detalle" sheetId="1" r:id="rId1"/>
  </sheets>
  <definedNames>
    <definedName name="_xlnm._FilterDatabase" localSheetId="0" hidden="1">Detalle!$A$1:$R$20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5" i="1" l="1"/>
  <c r="J10" i="1"/>
</calcChain>
</file>

<file path=xl/sharedStrings.xml><?xml version="1.0" encoding="utf-8"?>
<sst xmlns="http://schemas.openxmlformats.org/spreadsheetml/2006/main" count="132" uniqueCount="75">
  <si>
    <t>ID</t>
  </si>
  <si>
    <t>IDACTIVIDAD</t>
  </si>
  <si>
    <t>Semana</t>
  </si>
  <si>
    <t>Ticket</t>
  </si>
  <si>
    <t>Actividad</t>
  </si>
  <si>
    <t>Metas</t>
  </si>
  <si>
    <t>Observaciones</t>
  </si>
  <si>
    <t>Meta</t>
  </si>
  <si>
    <t>Meta Depend.</t>
  </si>
  <si>
    <t>Ejecutado Depend</t>
  </si>
  <si>
    <t>Ejecutado</t>
  </si>
  <si>
    <t>Asignado a</t>
  </si>
  <si>
    <t>Usuario</t>
  </si>
  <si>
    <t>Fecha registro</t>
  </si>
  <si>
    <t>Status</t>
  </si>
  <si>
    <t>Dependiente</t>
  </si>
  <si>
    <t>Radar</t>
  </si>
  <si>
    <t>Imprevisto</t>
  </si>
  <si>
    <t>WEB</t>
  </si>
  <si>
    <t>01_16-20May</t>
  </si>
  <si>
    <t>Culminación de Pruebas Carga de Documento</t>
  </si>
  <si>
    <t>Seguimiento Pruebas y cierre. Terminar con la correción de las vulnerabilidades de chechmarx</t>
  </si>
  <si>
    <t>Reynaldo Santos</t>
  </si>
  <si>
    <t>Marisol Quezada</t>
  </si>
  <si>
    <t>Gestión Cambios SOX/ Gestionar/ Revisión / Seguimiento/Asignación (Incidecias/Mejoras)/ Seguimiento desarrollo</t>
  </si>
  <si>
    <t>Análisis y revisión de incidencia y mejoras/ Seguimiento CCMSeguimiento de tickets.
Análisis de los tickets entrantes.
Espacio para apoyo a Servicio.
Gestión Sox: Análisis/Aprobación e integración de fuentes.</t>
  </si>
  <si>
    <t>API BHD</t>
  </si>
  <si>
    <t>Prueba de Desarrollo/ análisi de checkmarx y entrega a QA</t>
  </si>
  <si>
    <t>Sonia Guzman</t>
  </si>
  <si>
    <t>Verificación correo Viajero</t>
  </si>
  <si>
    <t>Se investigará por qué cuando se envian adjuntos y este pasa de más de 3 reportes, el servidor presenta error en el url, pero cuando atrapamos el url este funciona bien desde el navegador. Este Actividad depede de la Ayuda de Harry</t>
  </si>
  <si>
    <t>En espera de infraestructura</t>
  </si>
  <si>
    <t>Elisa  Reinoso</t>
  </si>
  <si>
    <t>Activo Fijo</t>
  </si>
  <si>
    <t>Seguimiento a Activo Fijo</t>
  </si>
  <si>
    <t>José Bolivar</t>
  </si>
  <si>
    <t>Reunión Plan de trabajo</t>
  </si>
  <si>
    <t>Tpago, Confisa</t>
  </si>
  <si>
    <t>Verificación Checkmarx TPAGO</t>
  </si>
  <si>
    <t>Api Siasoft</t>
  </si>
  <si>
    <t>Seguimiento en QA y entrenamiento a QA para el uso de post-man y pruebas con los web service</t>
  </si>
  <si>
    <t>Natali Alvaez</t>
  </si>
  <si>
    <t>Inspección</t>
  </si>
  <si>
    <t>* Pantallas donde trabaja el inspector.
1- Carga de piezas
2- Comentarios por piezas
3- Comentario Generar
4- Filtrado por área</t>
  </si>
  <si>
    <t>José Polanco</t>
  </si>
  <si>
    <t>Riquelmy Ulloa</t>
  </si>
  <si>
    <t>Seguimiento de Gestión de Reclamo</t>
  </si>
  <si>
    <t>PRB0041100  Error a usuarios del centro del automovilista cuando aperturan los casos</t>
  </si>
  <si>
    <t>Error a usuarios del centro del automovilista cuando aperturan los casos</t>
  </si>
  <si>
    <t>Proyecto CCM - Reporte cotización</t>
  </si>
  <si>
    <t>1- Estraer Query Reporte de Sura(TRP,RN,HP, RC, F3D,FIANZA).
2- Crear procedimiento + json
3- Realizar pruebas .</t>
  </si>
  <si>
    <t>Dioni Ferreiras</t>
  </si>
  <si>
    <t>Olga Lidia</t>
  </si>
  <si>
    <t>Seguimiento RITM0015232  (Dr. Click)</t>
  </si>
  <si>
    <t>Buenos dias! se requiere se colocado en la pagina WEB Sura el enlace de consulta virtual (Dr. Click) para los afiliados. Asi mismo, es necesario la creacion de un proceso que envie al proveedor las informaciones de los afiliados que tiene la cobertura SALUD VIRTUAL</t>
  </si>
  <si>
    <t>Seguimiento y Resolución caso CRM</t>
  </si>
  <si>
    <t>*Seguimiento al CRM(Para que consultor lo arregle Byron)
1- Revisar por que se daño la data.
2- Corregir el migrador
3- Corregir el error.</t>
  </si>
  <si>
    <t>Juan Arelis</t>
  </si>
  <si>
    <t>(RITM0026491)  Modificar Reportes y aplicativo.</t>
  </si>
  <si>
    <t>* Favor proceder a realizar los  cambios anexados a la cotización de seguro por km, ya que como está la cotización hoy en día es poco entendible para las personas.            * Prueba del funcionamiento de los dos pasos anteriores y documentación de esta.</t>
  </si>
  <si>
    <t>INC0142163 -Favor su ayuda, las personas de la promotora nosindican que el cotizador web le esta emitiendo un error cuando cotizan auto. Les permite cotizar todo lo demas m</t>
  </si>
  <si>
    <t>Favor su ayuda, las personas de la promotora nosindican que el cotizador web le esta emitiendo un error cuando cotizan auto. Les permite cotizar todo lo demas menos auto. Adjunto pantalla del error que emite.</t>
  </si>
  <si>
    <t>Esatabilizar Proceso de Actualización de Tasa de Cambio</t>
  </si>
  <si>
    <t>1- Modificación del web service de proseguros web service y agregar el insert de la tasa del dia anterior en dado caso de que el dia actual no tenga tasa registradas.
2- Pruebas del ciclo completo del proyecto y que esta prueba contenga la detección de errores.
3- Documentanción de las pruebas y el formulario.</t>
  </si>
  <si>
    <t>Byron</t>
  </si>
  <si>
    <t>Perfecta</t>
  </si>
  <si>
    <t>SI</t>
  </si>
  <si>
    <t>CRM</t>
  </si>
  <si>
    <t xml:space="preserve">Favor revisar los tiempos de  cargas o sincronización    de las poliza   en estatus ACT.
 Es importante  que las polizas  en estado activo, se carguen de forma simultanea a CRM, esto a los fines que los usuarios puedan realizar busquedas oportuna  y asu vez colgar comentarios en aplicativo. 
Esto garantizaria que los usuarios  pueda realizar busqueda  y validacione en tiempo  real para las polizas  que se encuentre activas.
Anexo les comparto print con polizas que se leen activa en acsel y no se encuentran en CRM
 </t>
  </si>
  <si>
    <t>01_10-13May</t>
  </si>
  <si>
    <t>Mejora al Cotizador General (RITM0017210)</t>
  </si>
  <si>
    <t xml:space="preserve">1- Organizar todos los insert y update en un solo archivo .sql y que sea comprensible la documentación
2-  Anular de la tabla BIEN_COBERT_PLAN_PROD la cobertura RC81, al campo stsbincob colocarle ANU
3- Dentro de la misma cotización el cliente podrá aumentar los limites asegurados de las siguientes coberturas
  (por defecto debe traer el menor valor)(BACK y END) 
  a- Crear lista de valores para agregar los montos que seleccionara el cliente 
     COBERTURA 	LIMITE COLOCAR LOS MONTOS LVAL
     (RC01) Responsabilidad Civil 	RD$1,000,000.00 RD$2,000,000.00 RD$3,000,000.00 RD$4,000,000.00 RD$5,000,000.00
     (ULGA) Últimos Gastos 	RD$50,000.00 RD$75,000.00   RD$100,000.00 RD$150,000.00
     (MACC)Accidente Personales 	RD$100,000.00 RD$150,000.00 RD$200,000.00
  B- FRONT si es una de estas coberturas presentar el valor mínimo y que se puedan modificar y crear el método en el web service. 
4- Todas las cobertura de cotización de salga en el grid, tomando encuenta que en cobert_plan_prod tengan el indicador indcodcobertcot
 </t>
  </si>
  <si>
    <t xml:space="preserve">Esta modificación se contempla para dos semanas y media.                         </t>
  </si>
  <si>
    <t>Werner Alonzo</t>
  </si>
  <si>
    <t>Carolyn / José Miranda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</si>
</sst>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family val="2"/>
      <scheme val="minor"/>
    </font>
    <font>
      <b/>
      <sz val="10"/>
      <color theme="0"/>
      <name val="Arial"/>
      <family val="2"/>
    </font>
    <font>
      <b/>
      <sz val="11"/>
      <color theme="8"/>
      <name val="Calibri"/>
      <family val="2"/>
      <scheme val="minor"/>
    </font>
    <font>
      <b/>
      <sz val="11"/>
      <color theme="9"/>
      <name val="Calibri"/>
      <family val="2"/>
      <scheme val="minor"/>
    </font>
    <font>
      <sz val="10"/>
      <color theme="1"/>
      <name val="Arial"/>
      <family val="2"/>
    </font>
    <font>
      <sz val="11"/>
      <color indexed="8"/>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6"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style="thin">
        <color theme="8"/>
      </left>
      <right style="thin">
        <color theme="8"/>
      </right>
      <top style="thin">
        <color theme="8"/>
      </top>
      <bottom style="thin">
        <color theme="8"/>
      </bottom>
      <diagonal/>
    </border>
  </borders>
  <cellStyleXfs count="3">
    <xf numFmtId="0" fontId="0" fillId="0" borderId="0"/>
    <xf numFmtId="43" fontId="1" fillId="0" borderId="0" applyFont="0" applyFill="0" applyBorder="0" applyAlignment="0" applyProtection="0"/>
    <xf numFmtId="0" fontId="6" fillId="0" borderId="0"/>
  </cellStyleXfs>
  <cellXfs count="26">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left" wrapText="1"/>
    </xf>
    <xf numFmtId="0" fontId="3" fillId="3" borderId="1" xfId="0" applyFont="1" applyFill="1" applyBorder="1" applyAlignment="1">
      <alignment horizontal="center"/>
    </xf>
    <xf numFmtId="0" fontId="4" fillId="3" borderId="1" xfId="0" applyFont="1" applyFill="1" applyBorder="1"/>
    <xf numFmtId="0" fontId="4" fillId="3" borderId="1" xfId="0" applyFont="1" applyFill="1" applyBorder="1" applyAlignment="1">
      <alignment horizontal="center"/>
    </xf>
    <xf numFmtId="14" fontId="2" fillId="2" borderId="1" xfId="0" applyNumberFormat="1" applyFont="1" applyFill="1" applyBorder="1" applyAlignment="1">
      <alignment horizontal="right"/>
    </xf>
    <xf numFmtId="0" fontId="2" fillId="2" borderId="1" xfId="0" applyFont="1" applyFill="1" applyBorder="1" applyAlignment="1">
      <alignment horizontal="center" wrapText="1"/>
    </xf>
    <xf numFmtId="0" fontId="5" fillId="0" borderId="1" xfId="0" applyFont="1" applyBorder="1" applyAlignment="1">
      <alignment horizontal="left"/>
    </xf>
    <xf numFmtId="0" fontId="0" fillId="0" borderId="1" xfId="0" applyBorder="1"/>
    <xf numFmtId="0" fontId="0" fillId="0" borderId="1" xfId="0" applyBorder="1" applyAlignment="1">
      <alignment wrapText="1"/>
    </xf>
    <xf numFmtId="43" fontId="0" fillId="0" borderId="1" xfId="1" applyFont="1" applyFill="1" applyBorder="1" applyAlignment="1">
      <alignment horizontal="center"/>
    </xf>
    <xf numFmtId="2" fontId="5" fillId="0" borderId="1" xfId="0" applyNumberFormat="1" applyFont="1" applyBorder="1"/>
    <xf numFmtId="14" fontId="0" fillId="0" borderId="1" xfId="0" applyNumberFormat="1" applyBorder="1"/>
    <xf numFmtId="0" fontId="0" fillId="0" borderId="1" xfId="0" applyBorder="1" applyAlignment="1">
      <alignment vertical="center" wrapText="1"/>
    </xf>
    <xf numFmtId="0" fontId="0" fillId="0" borderId="0" xfId="0" applyAlignment="1">
      <alignment wrapText="1"/>
    </xf>
    <xf numFmtId="43" fontId="0" fillId="0" borderId="1" xfId="0" applyNumberFormat="1" applyBorder="1"/>
    <xf numFmtId="0" fontId="0" fillId="0" borderId="2" xfId="0" applyBorder="1"/>
    <xf numFmtId="0" fontId="0" fillId="0" borderId="3" xfId="0" applyBorder="1"/>
    <xf numFmtId="0" fontId="5" fillId="0" borderId="1" xfId="0" applyFont="1" applyBorder="1"/>
    <xf numFmtId="49" fontId="6" fillId="0" borderId="1" xfId="2" applyNumberFormat="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5" fillId="0" borderId="0" xfId="0" applyFont="1" applyAlignment="1">
      <alignment horizontal="left"/>
    </xf>
    <xf numFmtId="14" fontId="0" fillId="0" borderId="0" xfId="0" applyNumberFormat="1"/>
  </cellXfs>
  <cellStyles count="3">
    <cellStyle name="Millares" xfId="1" builtinId="3"/>
    <cellStyle name="Normal" xfId="0" builtinId="0"/>
    <cellStyle name="Normal 2" xfId="2" xr:uid="{A80E21DB-0368-4751-8005-1F0279F9C6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raprod.service-now.com/problem.do?sys_id=a150bd5d1b978510523d2f80f54bcbcf&amp;sysparm_record_target=problem&amp;sysparm_record_row=2&amp;sysparm_record_rows=2&amp;sysparm_record_list=sys_domain.sys_id%3Djavascript%3Ags.getUser%28%29.getDomainID%28%29%5Eassignment_group%3Dc7fc9bd0db5b7f00cda7b11ba39619a2%5Eassigned_to%3D2f0d9bd4db4d0c50c3da9d40ba961984%5Estate%3D1%5EORDERBYnum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144A2-5FC3-49DF-885E-493FE2963076}">
  <dimension ref="A1:R21"/>
  <sheetViews>
    <sheetView tabSelected="1" topLeftCell="D1" zoomScale="70" zoomScaleNormal="70" workbookViewId="0">
      <pane ySplit="1" topLeftCell="A5" activePane="bottomLeft" state="frozen"/>
      <selection pane="bottomLeft" activeCell="F33" sqref="F33"/>
    </sheetView>
  </sheetViews>
  <sheetFormatPr baseColWidth="10" defaultRowHeight="13.5" customHeight="1" x14ac:dyDescent="0.35"/>
  <cols>
    <col min="1" max="1" width="10.90625" style="24"/>
    <col min="2" max="2" width="16.1796875" customWidth="1"/>
    <col min="3" max="3" width="15.453125" customWidth="1"/>
    <col min="4" max="4" width="16.1796875" customWidth="1"/>
    <col min="5" max="5" width="46.54296875" style="16" customWidth="1"/>
    <col min="6" max="6" width="45.7265625" style="16" customWidth="1"/>
    <col min="7" max="7" width="24.81640625" style="16" customWidth="1"/>
    <col min="8" max="8" width="10.453125" customWidth="1"/>
    <col min="9" max="9" width="18.7265625" customWidth="1"/>
    <col min="10" max="10" width="18.81640625" bestFit="1" customWidth="1"/>
    <col min="11" max="11" width="18.81640625" customWidth="1"/>
    <col min="12" max="12" width="16.7265625" customWidth="1"/>
    <col min="13" max="13" width="19" bestFit="1" customWidth="1"/>
    <col min="14" max="14" width="13.81640625" style="25" customWidth="1"/>
    <col min="15" max="15" width="11.26953125" customWidth="1"/>
    <col min="16" max="16" width="13" customWidth="1"/>
    <col min="18" max="18" width="11.54296875" customWidth="1"/>
  </cols>
  <sheetData>
    <row r="1" spans="1:18" ht="13.5" customHeight="1" x14ac:dyDescent="0.35">
      <c r="A1" s="1" t="s">
        <v>0</v>
      </c>
      <c r="B1" s="1" t="s">
        <v>1</v>
      </c>
      <c r="C1" s="2" t="s">
        <v>2</v>
      </c>
      <c r="D1" s="1" t="s">
        <v>3</v>
      </c>
      <c r="E1" s="3" t="s">
        <v>4</v>
      </c>
      <c r="F1" s="3" t="s">
        <v>5</v>
      </c>
      <c r="G1" s="3" t="s">
        <v>6</v>
      </c>
      <c r="H1" s="4" t="s">
        <v>7</v>
      </c>
      <c r="I1" s="4" t="s">
        <v>8</v>
      </c>
      <c r="J1" s="5" t="s">
        <v>9</v>
      </c>
      <c r="K1" s="6" t="s">
        <v>10</v>
      </c>
      <c r="L1" s="3" t="s">
        <v>11</v>
      </c>
      <c r="M1" s="3" t="s">
        <v>12</v>
      </c>
      <c r="N1" s="7" t="s">
        <v>13</v>
      </c>
      <c r="O1" s="1" t="s">
        <v>14</v>
      </c>
      <c r="P1" s="3" t="s">
        <v>15</v>
      </c>
      <c r="Q1" s="8" t="s">
        <v>16</v>
      </c>
      <c r="R1" s="3" t="s">
        <v>17</v>
      </c>
    </row>
    <row r="2" spans="1:18" ht="68.150000000000006" customHeight="1" x14ac:dyDescent="0.35">
      <c r="A2" s="9">
        <v>20</v>
      </c>
      <c r="B2" s="10" t="s">
        <v>18</v>
      </c>
      <c r="C2" s="10" t="s">
        <v>19</v>
      </c>
      <c r="D2" s="10"/>
      <c r="E2" s="11" t="s">
        <v>20</v>
      </c>
      <c r="F2" s="11" t="s">
        <v>21</v>
      </c>
      <c r="G2" s="11"/>
      <c r="H2" s="12">
        <v>1</v>
      </c>
      <c r="I2" s="10"/>
      <c r="J2" s="10"/>
      <c r="K2" s="13">
        <v>0.7</v>
      </c>
      <c r="L2" s="10" t="s">
        <v>22</v>
      </c>
      <c r="M2" s="10" t="s">
        <v>23</v>
      </c>
      <c r="N2" s="14"/>
      <c r="O2" s="10"/>
      <c r="P2" s="10"/>
      <c r="Q2" s="10"/>
      <c r="R2" s="10"/>
    </row>
    <row r="3" spans="1:18" ht="50" customHeight="1" x14ac:dyDescent="0.35">
      <c r="A3" s="9">
        <v>21</v>
      </c>
      <c r="B3" s="10" t="s">
        <v>18</v>
      </c>
      <c r="C3" s="10" t="s">
        <v>19</v>
      </c>
      <c r="D3" s="10"/>
      <c r="E3" s="11" t="s">
        <v>24</v>
      </c>
      <c r="F3" s="15" t="s">
        <v>25</v>
      </c>
      <c r="G3" s="15"/>
      <c r="H3" s="12">
        <v>3</v>
      </c>
      <c r="I3" s="10"/>
      <c r="J3" s="10"/>
      <c r="K3" s="13">
        <v>2</v>
      </c>
      <c r="L3" s="10" t="s">
        <v>22</v>
      </c>
      <c r="M3" s="10"/>
      <c r="N3" s="14"/>
      <c r="O3" s="10"/>
      <c r="P3" s="10"/>
      <c r="Q3" s="10"/>
      <c r="R3" s="10"/>
    </row>
    <row r="4" spans="1:18" ht="44.5" customHeight="1" x14ac:dyDescent="0.35">
      <c r="A4" s="9">
        <v>22</v>
      </c>
      <c r="B4" s="10" t="s">
        <v>18</v>
      </c>
      <c r="C4" s="10" t="s">
        <v>19</v>
      </c>
      <c r="D4" s="10"/>
      <c r="E4" s="11" t="s">
        <v>26</v>
      </c>
      <c r="F4" s="15" t="s">
        <v>27</v>
      </c>
      <c r="G4" s="15"/>
      <c r="H4" s="12">
        <v>2</v>
      </c>
      <c r="I4" s="10"/>
      <c r="J4" s="10"/>
      <c r="K4" s="13">
        <v>1</v>
      </c>
      <c r="L4" s="10" t="s">
        <v>22</v>
      </c>
      <c r="M4" s="10" t="s">
        <v>28</v>
      </c>
      <c r="N4" s="14"/>
      <c r="O4" s="10"/>
      <c r="P4" s="10"/>
      <c r="Q4" s="10"/>
      <c r="R4" s="10"/>
    </row>
    <row r="5" spans="1:18" ht="48.5" customHeight="1" x14ac:dyDescent="0.35">
      <c r="A5" s="9">
        <v>23</v>
      </c>
      <c r="B5" s="10" t="s">
        <v>18</v>
      </c>
      <c r="C5" s="10" t="s">
        <v>19</v>
      </c>
      <c r="D5" s="10"/>
      <c r="E5" s="11" t="s">
        <v>29</v>
      </c>
      <c r="F5" s="11" t="s">
        <v>30</v>
      </c>
      <c r="G5" s="11" t="s">
        <v>31</v>
      </c>
      <c r="H5" s="12">
        <v>0.5</v>
      </c>
      <c r="I5" s="10"/>
      <c r="J5" s="10"/>
      <c r="K5" s="13">
        <v>0</v>
      </c>
      <c r="L5" s="10" t="s">
        <v>22</v>
      </c>
      <c r="M5" s="10" t="s">
        <v>32</v>
      </c>
      <c r="N5" s="14"/>
      <c r="O5" s="10"/>
      <c r="P5" s="10"/>
      <c r="Q5" s="10"/>
      <c r="R5" s="10"/>
    </row>
    <row r="6" spans="1:18" ht="14.5" x14ac:dyDescent="0.35">
      <c r="A6" s="9">
        <v>24</v>
      </c>
      <c r="B6" s="10" t="s">
        <v>18</v>
      </c>
      <c r="C6" s="10" t="s">
        <v>19</v>
      </c>
      <c r="D6" s="10"/>
      <c r="E6" s="11" t="s">
        <v>33</v>
      </c>
      <c r="F6" s="11" t="s">
        <v>34</v>
      </c>
      <c r="G6" s="11"/>
      <c r="H6" s="12">
        <v>1</v>
      </c>
      <c r="I6" s="10"/>
      <c r="J6" s="10"/>
      <c r="K6" s="13">
        <v>0.5</v>
      </c>
      <c r="L6" s="10" t="s">
        <v>22</v>
      </c>
      <c r="M6" s="10" t="s">
        <v>35</v>
      </c>
      <c r="N6" s="14"/>
      <c r="O6" s="10"/>
      <c r="P6" s="10"/>
      <c r="Q6" s="10"/>
      <c r="R6" s="10"/>
    </row>
    <row r="7" spans="1:18" ht="14.5" x14ac:dyDescent="0.35">
      <c r="A7" s="9">
        <v>25</v>
      </c>
      <c r="B7" s="10" t="s">
        <v>18</v>
      </c>
      <c r="C7" s="10" t="s">
        <v>19</v>
      </c>
      <c r="D7" s="10"/>
      <c r="E7" s="11" t="s">
        <v>36</v>
      </c>
      <c r="F7" s="11"/>
      <c r="G7" s="10"/>
      <c r="H7" s="12">
        <v>0.5</v>
      </c>
      <c r="I7" s="10"/>
      <c r="J7" s="10"/>
      <c r="K7" s="10"/>
      <c r="L7" s="10" t="s">
        <v>22</v>
      </c>
      <c r="M7" s="10"/>
      <c r="N7" s="14"/>
      <c r="O7" s="10"/>
      <c r="P7" s="10"/>
      <c r="Q7" s="10"/>
      <c r="R7" s="10"/>
    </row>
    <row r="8" spans="1:18" ht="13.5" customHeight="1" x14ac:dyDescent="0.35">
      <c r="A8" s="9">
        <v>26</v>
      </c>
      <c r="B8" s="10" t="s">
        <v>18</v>
      </c>
      <c r="C8" s="10" t="s">
        <v>19</v>
      </c>
      <c r="D8" s="10"/>
      <c r="E8" s="11" t="s">
        <v>37</v>
      </c>
      <c r="F8" s="11" t="s">
        <v>38</v>
      </c>
      <c r="G8" s="10"/>
      <c r="H8" s="12">
        <v>1</v>
      </c>
      <c r="I8" s="10"/>
      <c r="J8" s="10"/>
      <c r="K8" s="10">
        <v>0.3</v>
      </c>
      <c r="L8" s="10" t="s">
        <v>22</v>
      </c>
      <c r="M8" s="10" t="s">
        <v>28</v>
      </c>
      <c r="N8" s="10"/>
      <c r="O8" s="10"/>
      <c r="P8" s="10"/>
      <c r="Q8" s="10"/>
      <c r="R8" s="10"/>
    </row>
    <row r="9" spans="1:18" ht="13.5" customHeight="1" x14ac:dyDescent="0.35">
      <c r="A9" s="9">
        <v>27</v>
      </c>
      <c r="B9" s="10" t="s">
        <v>18</v>
      </c>
      <c r="C9" s="10" t="s">
        <v>19</v>
      </c>
      <c r="D9" s="10"/>
      <c r="E9" s="11" t="s">
        <v>39</v>
      </c>
      <c r="F9" s="11" t="s">
        <v>40</v>
      </c>
      <c r="G9" s="10"/>
      <c r="H9" s="12">
        <v>1</v>
      </c>
      <c r="I9" s="10"/>
      <c r="J9" s="10"/>
      <c r="K9" s="10">
        <v>1</v>
      </c>
      <c r="L9" s="10" t="s">
        <v>22</v>
      </c>
      <c r="M9" s="10" t="s">
        <v>41</v>
      </c>
      <c r="N9" s="10"/>
      <c r="O9" s="10"/>
      <c r="P9" s="10"/>
      <c r="Q9" s="10"/>
      <c r="R9" s="10"/>
    </row>
    <row r="10" spans="1:18" ht="13.5" customHeight="1" x14ac:dyDescent="0.35">
      <c r="A10" s="9">
        <v>31</v>
      </c>
      <c r="B10" s="10" t="s">
        <v>18</v>
      </c>
      <c r="C10" s="10" t="s">
        <v>19</v>
      </c>
      <c r="D10" s="10"/>
      <c r="E10" s="11" t="s">
        <v>42</v>
      </c>
      <c r="F10" s="11" t="s">
        <v>43</v>
      </c>
      <c r="G10" s="11"/>
      <c r="H10" s="12">
        <v>7</v>
      </c>
      <c r="I10" s="12">
        <v>8</v>
      </c>
      <c r="J10" s="12">
        <f>I10/H10*K10</f>
        <v>4.5714285714285712</v>
      </c>
      <c r="K10" s="13">
        <v>4</v>
      </c>
      <c r="L10" s="10" t="s">
        <v>44</v>
      </c>
      <c r="M10" s="10" t="s">
        <v>45</v>
      </c>
      <c r="N10" s="14"/>
      <c r="O10" s="10"/>
      <c r="P10" s="10"/>
      <c r="Q10" s="10"/>
      <c r="R10" s="10"/>
    </row>
    <row r="11" spans="1:18" ht="13.5" customHeight="1" x14ac:dyDescent="0.35">
      <c r="A11" s="9">
        <v>32</v>
      </c>
      <c r="B11" s="10" t="s">
        <v>18</v>
      </c>
      <c r="C11" s="10" t="s">
        <v>19</v>
      </c>
      <c r="D11" s="10"/>
      <c r="E11" s="15" t="s">
        <v>46</v>
      </c>
      <c r="F11" s="15"/>
      <c r="G11" s="15"/>
      <c r="H11" s="12">
        <v>1</v>
      </c>
      <c r="I11" s="12">
        <v>0</v>
      </c>
      <c r="J11" s="12"/>
      <c r="K11" s="13">
        <v>0.5</v>
      </c>
      <c r="L11" s="10" t="s">
        <v>44</v>
      </c>
      <c r="M11" s="10" t="s">
        <v>23</v>
      </c>
      <c r="N11" s="14"/>
      <c r="O11" s="10"/>
      <c r="P11" s="10"/>
      <c r="Q11" s="10"/>
      <c r="R11" s="10"/>
    </row>
    <row r="12" spans="1:18" ht="13.5" customHeight="1" x14ac:dyDescent="0.35">
      <c r="A12" s="9">
        <v>33</v>
      </c>
      <c r="B12" s="10" t="s">
        <v>18</v>
      </c>
      <c r="C12" s="10" t="s">
        <v>19</v>
      </c>
      <c r="D12" s="10"/>
      <c r="E12" s="11" t="s">
        <v>47</v>
      </c>
      <c r="F12" s="11" t="s">
        <v>48</v>
      </c>
      <c r="G12" s="11"/>
      <c r="H12" s="12">
        <v>1.5</v>
      </c>
      <c r="I12" s="12">
        <v>2</v>
      </c>
      <c r="J12" s="12"/>
      <c r="K12" s="13">
        <v>0</v>
      </c>
      <c r="L12" s="10" t="s">
        <v>44</v>
      </c>
      <c r="M12" s="10" t="s">
        <v>41</v>
      </c>
      <c r="N12" s="14"/>
      <c r="O12" s="10"/>
      <c r="P12" s="10"/>
      <c r="Q12" s="10"/>
      <c r="R12" s="10"/>
    </row>
    <row r="13" spans="1:18" ht="30" customHeight="1" x14ac:dyDescent="0.35">
      <c r="A13" s="9">
        <v>35</v>
      </c>
      <c r="B13" s="10" t="s">
        <v>18</v>
      </c>
      <c r="C13" s="10" t="s">
        <v>19</v>
      </c>
      <c r="D13" s="10"/>
      <c r="E13" s="10" t="s">
        <v>49</v>
      </c>
      <c r="F13" s="11" t="s">
        <v>50</v>
      </c>
      <c r="G13" s="11"/>
      <c r="H13" s="10">
        <v>8</v>
      </c>
      <c r="I13" s="10">
        <v>5</v>
      </c>
      <c r="J13" s="10">
        <v>0</v>
      </c>
      <c r="K13" s="13">
        <v>0</v>
      </c>
      <c r="L13" s="10" t="s">
        <v>51</v>
      </c>
      <c r="M13" s="10" t="s">
        <v>52</v>
      </c>
      <c r="N13" s="14"/>
      <c r="O13" s="10"/>
      <c r="P13" s="10"/>
      <c r="Q13" s="10"/>
      <c r="R13" s="10"/>
    </row>
    <row r="14" spans="1:18" ht="13.5" customHeight="1" x14ac:dyDescent="0.35">
      <c r="A14" s="9">
        <v>34</v>
      </c>
      <c r="B14" s="10" t="s">
        <v>18</v>
      </c>
      <c r="C14" s="10" t="s">
        <v>19</v>
      </c>
      <c r="D14" s="10"/>
      <c r="E14" s="11" t="s">
        <v>53</v>
      </c>
      <c r="F14" s="11" t="s">
        <v>54</v>
      </c>
      <c r="G14" s="11"/>
      <c r="H14" s="12">
        <v>0.5</v>
      </c>
      <c r="I14" s="12">
        <v>0</v>
      </c>
      <c r="J14" s="12"/>
      <c r="K14" s="13">
        <v>0.5</v>
      </c>
      <c r="L14" s="10" t="s">
        <v>44</v>
      </c>
      <c r="M14" s="10" t="s">
        <v>32</v>
      </c>
      <c r="N14" s="14"/>
      <c r="O14" s="10"/>
      <c r="P14" s="10"/>
      <c r="Q14" s="10"/>
      <c r="R14" s="10"/>
    </row>
    <row r="15" spans="1:18" ht="13.5" customHeight="1" x14ac:dyDescent="0.35">
      <c r="A15" s="9">
        <v>36</v>
      </c>
      <c r="B15" s="10" t="s">
        <v>18</v>
      </c>
      <c r="C15" s="10" t="s">
        <v>19</v>
      </c>
      <c r="D15" s="10"/>
      <c r="E15" s="11" t="s">
        <v>55</v>
      </c>
      <c r="F15" s="16" t="s">
        <v>56</v>
      </c>
      <c r="G15" s="11"/>
      <c r="H15" s="10">
        <v>1</v>
      </c>
      <c r="I15" s="17">
        <v>5</v>
      </c>
      <c r="J15" s="17">
        <f>I15/1*0.7</f>
        <v>3.5</v>
      </c>
      <c r="K15" s="13">
        <v>0.7</v>
      </c>
      <c r="L15" s="10" t="s">
        <v>51</v>
      </c>
      <c r="M15" s="10" t="s">
        <v>57</v>
      </c>
      <c r="N15" s="14"/>
      <c r="O15" s="10"/>
      <c r="P15" s="10"/>
      <c r="Q15" s="10"/>
      <c r="R15" s="10"/>
    </row>
    <row r="16" spans="1:18" ht="13.5" customHeight="1" x14ac:dyDescent="0.35">
      <c r="A16" s="9">
        <v>37</v>
      </c>
      <c r="B16" s="10" t="s">
        <v>18</v>
      </c>
      <c r="C16" s="10" t="s">
        <v>19</v>
      </c>
      <c r="D16" s="10"/>
      <c r="E16" t="s">
        <v>58</v>
      </c>
      <c r="F16" s="11" t="s">
        <v>59</v>
      </c>
      <c r="G16" s="11"/>
      <c r="H16" s="18">
        <v>0.3</v>
      </c>
      <c r="I16" s="17">
        <v>0</v>
      </c>
      <c r="J16" s="10"/>
      <c r="K16" s="13">
        <v>0.3</v>
      </c>
      <c r="L16" s="10" t="s">
        <v>51</v>
      </c>
      <c r="M16" s="10" t="s">
        <v>41</v>
      </c>
      <c r="N16" s="14"/>
      <c r="O16" s="10"/>
      <c r="P16" s="10"/>
      <c r="Q16" s="10"/>
      <c r="R16" s="10"/>
    </row>
    <row r="17" spans="1:18" ht="13.5" customHeight="1" x14ac:dyDescent="0.35">
      <c r="A17" s="9">
        <v>38</v>
      </c>
      <c r="B17" s="10" t="s">
        <v>18</v>
      </c>
      <c r="C17" s="10" t="s">
        <v>19</v>
      </c>
      <c r="D17" s="10"/>
      <c r="E17" t="s">
        <v>60</v>
      </c>
      <c r="F17" s="16" t="s">
        <v>61</v>
      </c>
      <c r="G17" s="11"/>
      <c r="H17" s="18">
        <v>0.7</v>
      </c>
      <c r="I17" s="17">
        <v>0</v>
      </c>
      <c r="J17" s="10"/>
      <c r="K17" s="13">
        <v>0.7</v>
      </c>
      <c r="L17" s="10" t="s">
        <v>51</v>
      </c>
      <c r="M17" s="10" t="s">
        <v>41</v>
      </c>
      <c r="N17" s="14"/>
      <c r="O17" s="10"/>
      <c r="P17" s="10"/>
      <c r="Q17" s="10"/>
      <c r="R17" s="10"/>
    </row>
    <row r="18" spans="1:18" ht="13.5" customHeight="1" x14ac:dyDescent="0.35">
      <c r="A18" s="9">
        <v>39</v>
      </c>
      <c r="B18" s="10" t="s">
        <v>18</v>
      </c>
      <c r="C18" s="9" t="s">
        <v>19</v>
      </c>
      <c r="D18" s="10"/>
      <c r="E18" s="19" t="s">
        <v>62</v>
      </c>
      <c r="F18" s="16" t="s">
        <v>63</v>
      </c>
      <c r="G18" s="11"/>
      <c r="H18" s="18">
        <v>2</v>
      </c>
      <c r="I18" s="10">
        <v>2</v>
      </c>
      <c r="J18" s="10">
        <v>1.7</v>
      </c>
      <c r="K18" s="13">
        <v>1.7</v>
      </c>
      <c r="L18" s="20" t="s">
        <v>64</v>
      </c>
      <c r="M18" s="20" t="s">
        <v>65</v>
      </c>
      <c r="N18" s="14"/>
      <c r="O18" s="10"/>
      <c r="P18" s="10" t="s">
        <v>66</v>
      </c>
      <c r="Q18" s="10" t="s">
        <v>66</v>
      </c>
      <c r="R18" s="10"/>
    </row>
    <row r="19" spans="1:18" ht="47" customHeight="1" x14ac:dyDescent="0.35">
      <c r="A19" s="9">
        <v>40</v>
      </c>
      <c r="B19" s="10" t="s">
        <v>18</v>
      </c>
      <c r="C19" s="9" t="s">
        <v>19</v>
      </c>
      <c r="D19" s="10"/>
      <c r="E19" s="21" t="s">
        <v>67</v>
      </c>
      <c r="F19" s="22" t="s">
        <v>68</v>
      </c>
      <c r="G19" s="22"/>
      <c r="H19" s="13">
        <v>8</v>
      </c>
      <c r="I19" s="13">
        <v>8</v>
      </c>
      <c r="J19" s="13">
        <v>1</v>
      </c>
      <c r="K19" s="13">
        <v>1</v>
      </c>
      <c r="L19" s="20" t="s">
        <v>64</v>
      </c>
      <c r="M19" s="10" t="s">
        <v>57</v>
      </c>
      <c r="N19" s="14"/>
      <c r="O19" s="10"/>
      <c r="P19" s="10"/>
      <c r="Q19" s="10"/>
      <c r="R19" s="10"/>
    </row>
    <row r="20" spans="1:18" ht="64" customHeight="1" x14ac:dyDescent="0.35">
      <c r="A20" s="9">
        <v>41</v>
      </c>
      <c r="B20" s="10" t="s">
        <v>18</v>
      </c>
      <c r="C20" s="9" t="s">
        <v>69</v>
      </c>
      <c r="D20" s="10"/>
      <c r="E20" s="23" t="s">
        <v>70</v>
      </c>
      <c r="F20" s="22" t="s">
        <v>71</v>
      </c>
      <c r="G20" s="22" t="s">
        <v>72</v>
      </c>
      <c r="H20" s="13">
        <v>10</v>
      </c>
      <c r="I20" s="13">
        <v>10</v>
      </c>
      <c r="J20" s="13">
        <v>1</v>
      </c>
      <c r="K20" s="13">
        <v>1</v>
      </c>
      <c r="L20" s="10" t="s">
        <v>73</v>
      </c>
      <c r="M20" s="10" t="s">
        <v>74</v>
      </c>
      <c r="N20" s="14"/>
      <c r="O20" s="10"/>
      <c r="P20" s="10"/>
      <c r="Q20" s="10"/>
      <c r="R20" s="10"/>
    </row>
    <row r="21" spans="1:18" ht="14.5" x14ac:dyDescent="0.35">
      <c r="A21" s="9"/>
      <c r="B21" s="10"/>
      <c r="C21" s="10"/>
      <c r="D21" s="10"/>
      <c r="E21" s="10"/>
      <c r="F21" s="11"/>
      <c r="G21" s="11"/>
      <c r="H21" s="10"/>
      <c r="I21" s="17"/>
      <c r="J21" s="10"/>
      <c r="K21" s="13"/>
      <c r="L21" s="10"/>
      <c r="M21" s="10"/>
      <c r="N21" s="14"/>
      <c r="O21" s="10"/>
      <c r="P21" s="10"/>
      <c r="Q21" s="10"/>
      <c r="R21" s="10"/>
    </row>
  </sheetData>
  <autoFilter ref="A1:R20" xr:uid="{BDC09917-5FCD-44F9-BCC2-4D4A28C808D7}"/>
  <hyperlinks>
    <hyperlink ref="E12" r:id="rId1" display="https://suraprod.service-now.com/problem.do?sys_id=a150bd5d1b978510523d2f80f54bcbcf&amp;sysparm_record_target=problem&amp;sysparm_record_row=2&amp;sysparm_record_rows=2&amp;sysparm_record_list=sys_domain.sys_id%3Djavascript%3Ags.getUser%28%29.getDomainID%28%29%5Eassignment_group%3Dc7fc9bd0db5b7f00cda7b11ba39619a2%5Eassigned_to%3D2f0d9bd4db4d0c50c3da9d40ba961984%5Estate%3D1%5EORDERBYnumber" xr:uid="{10962DBC-0918-4629-ADBE-A4EE4851A8C8}"/>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Detalle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Reynaldo Leopoldo Santos Santos</dc:creator>
  <cp:lastModifiedBy>Reynaldo Leopoldo Santos Santos</cp:lastModifiedBy>
  <dcterms:created xsi:type="dcterms:W3CDTF">2022-05-20T13:16:29Z</dcterms:created>
  <dcterms:modified xsi:type="dcterms:W3CDTF">2022-05-20T13:18:09Z</dcterms:modified>
</cp:coreProperties>
</file>